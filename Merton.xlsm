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auss\Documents\Pierre\Cours\5- LefebvreDalloz\1- Gestion_Risque_Credit\2- Atelier\3- GitHub\lefebvredalloz-credit\"/>
    </mc:Choice>
  </mc:AlternateContent>
  <xr:revisionPtr revIDLastSave="0" documentId="13_ncr:1_{9E3776C4-EB61-4D52-BE00-B3C78BDDBA60}" xr6:coauthVersionLast="47" xr6:coauthVersionMax="47" xr10:uidLastSave="{00000000-0000-0000-0000-000000000000}"/>
  <bookViews>
    <workbookView xWindow="-120" yWindow="-120" windowWidth="29040" windowHeight="15840" xr2:uid="{D34F687D-41E4-405E-9959-9FD167753FE2}"/>
  </bookViews>
  <sheets>
    <sheet name="Merton" sheetId="1" r:id="rId1"/>
  </sheets>
  <definedNames>
    <definedName name="eq_1">Merton!#REF!</definedName>
    <definedName name="eq_2">Merton!#REF!</definedName>
    <definedName name="equation_1">Merton!$G$18</definedName>
    <definedName name="equation_2">Merton!$G$19</definedName>
    <definedName name="inconnues">Merton!$C$18:$C$19</definedName>
    <definedName name="solver_adj" localSheetId="0" hidden="1">Merton!$C$18:$C$19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1000</definedName>
    <definedName name="solver_lhs1" localSheetId="0" hidden="1">Merton!$G$19</definedName>
    <definedName name="solver_lhs2" localSheetId="0" hidden="1">Merton!$G$19</definedName>
    <definedName name="solver_lhs3" localSheetId="0" hidden="1">Merton!$G$19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Merton!$G$18</definedName>
    <definedName name="solver_pre" localSheetId="0" hidden="1">0.0000001</definedName>
    <definedName name="solver_rbv" localSheetId="0" hidden="1">2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1000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  <definedName name="variables">Merton!#REF!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" l="1"/>
  <c r="G8" i="1" l="1"/>
  <c r="G7" i="1" s="1"/>
  <c r="F6" i="1"/>
  <c r="F7" i="1" s="1"/>
  <c r="F5" i="1"/>
  <c r="G19" i="1" s="1"/>
  <c r="F10" i="1" l="1"/>
  <c r="G18" i="1"/>
</calcChain>
</file>

<file path=xl/sharedStrings.xml><?xml version="1.0" encoding="utf-8"?>
<sst xmlns="http://schemas.openxmlformats.org/spreadsheetml/2006/main" count="19" uniqueCount="19">
  <si>
    <t>T</t>
  </si>
  <si>
    <t>r</t>
  </si>
  <si>
    <t>PD</t>
  </si>
  <si>
    <t>d2</t>
  </si>
  <si>
    <t>d1</t>
  </si>
  <si>
    <t>E_0</t>
  </si>
  <si>
    <t>sigma_E</t>
  </si>
  <si>
    <t>sigma_V</t>
  </si>
  <si>
    <t>V_0</t>
  </si>
  <si>
    <t>equation_1</t>
  </si>
  <si>
    <t>equation_2</t>
  </si>
  <si>
    <t>DD</t>
  </si>
  <si>
    <t>Risque neutre</t>
  </si>
  <si>
    <t>Historique</t>
  </si>
  <si>
    <t>Levier</t>
  </si>
  <si>
    <t>D</t>
  </si>
  <si>
    <t>mu (ROE)</t>
  </si>
  <si>
    <t>Spread</t>
  </si>
  <si>
    <t>Exemple 22.1 Hull "Options, futures, and other derivatives - 7th edition" page 507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</si>
</sst>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0" fontId="0" fillId="0" borderId="0" xfId="0" applyNumberFormat="1"/>
    <xf numFmtId="0" fontId="1" fillId="0" borderId="0" xfId="0" applyFont="1"/>
    <xf numFmtId="2" fontId="0" fillId="0" borderId="0" xfId="0" applyNumberFormat="1"/>
    <xf numFmtId="0" fontId="0" fillId="2" borderId="0" xfId="0" applyFill="1"/>
    <xf numFmtId="9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/>
    <xf numFmtId="10" fontId="4" fillId="0" borderId="1" xfId="0" applyNumberFormat="1" applyFont="1" applyBorder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781050</xdr:colOff>
          <xdr:row>13</xdr:row>
          <xdr:rowOff>9525</xdr:rowOff>
        </xdr:from>
        <xdr:to>
          <xdr:col>5</xdr:col>
          <xdr:colOff>238125</xdr:colOff>
          <xdr:row>16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Résolution équations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A76A5-BC23-4329-9AAB-7070C10FE5FE}">
  <sheetPr codeName="Feuil1"/>
  <dimension ref="B1:J19"/>
  <sheetViews>
    <sheetView tabSelected="1" workbookViewId="0">
      <selection activeCell="H12" sqref="H12"/>
    </sheetView>
  </sheetViews>
  <sheetFormatPr baseColWidth="10" defaultRowHeight="15" x14ac:dyDescent="0.25"/>
  <cols>
    <col min="6" max="6" width="13.42578125" bestFit="1" customWidth="1"/>
  </cols>
  <sheetData>
    <row r="1" spans="2:10" x14ac:dyDescent="0.25">
      <c r="D1" s="1"/>
    </row>
    <row r="2" spans="2:10" x14ac:dyDescent="0.25">
      <c r="B2" s="8" t="s">
        <v>18</v>
      </c>
    </row>
    <row r="3" spans="2:10" x14ac:dyDescent="0.25">
      <c r="B3" s="8"/>
    </row>
    <row r="4" spans="2:10" x14ac:dyDescent="0.25">
      <c r="F4" s="6" t="s">
        <v>12</v>
      </c>
      <c r="G4" s="6" t="s">
        <v>13</v>
      </c>
      <c r="I4" s="2"/>
    </row>
    <row r="5" spans="2:10" x14ac:dyDescent="0.25">
      <c r="B5" s="10" t="s">
        <v>5</v>
      </c>
      <c r="C5" s="4">
        <v>3</v>
      </c>
      <c r="E5" s="2" t="s">
        <v>4</v>
      </c>
      <c r="F5" s="3">
        <f>((C9+C18^2/2)*C8+LN(C19/C7))/(C18*SQRT(C8))</f>
        <v>1.353130299368265</v>
      </c>
      <c r="J5" s="7"/>
    </row>
    <row r="6" spans="2:10" x14ac:dyDescent="0.25">
      <c r="B6" s="10" t="s">
        <v>6</v>
      </c>
      <c r="C6" s="5">
        <v>0.8</v>
      </c>
      <c r="E6" s="2" t="s">
        <v>3</v>
      </c>
      <c r="F6" s="3">
        <f>((C9-C18^2/2)*C8+LN(C19/C7))/(C18*SQRT(C8))</f>
        <v>1.1408255772302223</v>
      </c>
    </row>
    <row r="7" spans="2:10" x14ac:dyDescent="0.25">
      <c r="B7" s="10" t="s">
        <v>15</v>
      </c>
      <c r="C7" s="4">
        <v>10</v>
      </c>
      <c r="E7" s="2" t="s">
        <v>2</v>
      </c>
      <c r="F7" s="9">
        <f>_xlfn.NORM.S.DIST(-F6,TRUE)</f>
        <v>0.12697125731603254</v>
      </c>
      <c r="G7" s="1">
        <f>_xlfn.NORM.S.DIST(-G8,TRUE)</f>
        <v>0.10840970800894831</v>
      </c>
      <c r="J7" s="1"/>
    </row>
    <row r="8" spans="2:10" x14ac:dyDescent="0.25">
      <c r="B8" s="10" t="s">
        <v>0</v>
      </c>
      <c r="C8" s="4">
        <v>1</v>
      </c>
      <c r="E8" s="2" t="s">
        <v>11</v>
      </c>
      <c r="F8" s="3"/>
      <c r="G8" s="3">
        <f>((C10-C18^2/2)*C8+LN(C19/C7))/(C18*SQRT(C8))</f>
        <v>1.2350297936912946</v>
      </c>
      <c r="J8" s="1"/>
    </row>
    <row r="9" spans="2:10" x14ac:dyDescent="0.25">
      <c r="B9" s="10" t="s">
        <v>1</v>
      </c>
      <c r="C9" s="5">
        <v>0.05</v>
      </c>
      <c r="E9" s="2" t="s">
        <v>14</v>
      </c>
      <c r="F9" s="1">
        <f>C7*EXP(-C9*C8)/C19</f>
        <v>0.76740598303163465</v>
      </c>
      <c r="J9" s="1"/>
    </row>
    <row r="10" spans="2:10" x14ac:dyDescent="0.25">
      <c r="B10" s="10" t="s">
        <v>16</v>
      </c>
      <c r="C10" s="5">
        <v>7.0000000000000007E-2</v>
      </c>
      <c r="E10" s="2" t="s">
        <v>17</v>
      </c>
      <c r="F10" s="9">
        <f>-LN(_xlfn.NORM.S.DIST(F6,TRUE)+_xlfn.NORM.S.DIST(-F5,TRUE)/F9)/C8</f>
        <v>1.2366251167815902E-2</v>
      </c>
      <c r="J10" s="1"/>
    </row>
    <row r="11" spans="2:10" x14ac:dyDescent="0.25">
      <c r="J11" s="1"/>
    </row>
    <row r="12" spans="2:10" x14ac:dyDescent="0.25">
      <c r="J12" s="1"/>
    </row>
    <row r="13" spans="2:10" x14ac:dyDescent="0.25">
      <c r="J13" s="1"/>
    </row>
    <row r="14" spans="2:10" x14ac:dyDescent="0.25">
      <c r="J14" s="1"/>
    </row>
    <row r="15" spans="2:10" x14ac:dyDescent="0.25">
      <c r="J15" s="1"/>
    </row>
    <row r="16" spans="2:10" x14ac:dyDescent="0.25">
      <c r="J16" s="1"/>
    </row>
    <row r="18" spans="2:7" x14ac:dyDescent="0.25">
      <c r="B18" s="2" t="s">
        <v>7</v>
      </c>
      <c r="C18" s="1">
        <v>0.21230472213804266</v>
      </c>
      <c r="F18" s="2" t="s">
        <v>9</v>
      </c>
      <c r="G18" s="3">
        <f>C19*_xlfn.NORM.S.DIST(F5,TRUE)-C7*EXP(-C9*C8)*_xlfn.NORM.S.DIST(F6,TRUE)-C5</f>
        <v>-3.6878361697745277E-8</v>
      </c>
    </row>
    <row r="19" spans="2:7" x14ac:dyDescent="0.25">
      <c r="B19" s="2" t="s">
        <v>8</v>
      </c>
      <c r="C19" s="3">
        <v>12.39538712928567</v>
      </c>
      <c r="F19" s="2" t="s">
        <v>10</v>
      </c>
      <c r="G19" s="3">
        <f>C18*C19/C5*_xlfn.NORM.S.DIST(F5,TRUE)-C6</f>
        <v>1.9287988317628901E-8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tim1">
                <anchor moveWithCells="1" sizeWithCells="1">
                  <from>
                    <xdr:col>2</xdr:col>
                    <xdr:colOff>781050</xdr:colOff>
                    <xdr:row>13</xdr:row>
                    <xdr:rowOff>9525</xdr:rowOff>
                  </from>
                  <to>
                    <xdr:col>5</xdr:col>
                    <xdr:colOff>238125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3</vt:i4>
      </vt:variant>
    </vt:vector>
  </HeadingPairs>
  <TitlesOfParts>
    <vt:vector size="4" baseType="lpstr">
      <vt:lpstr>Merton</vt:lpstr>
      <vt:lpstr>equation_1</vt:lpstr>
      <vt:lpstr>equation_2</vt:lpstr>
      <vt:lpstr>inconnues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Clauss</dc:creator>
  <cp:lastModifiedBy>CLAUSS</cp:lastModifiedBy>
  <dcterms:created xsi:type="dcterms:W3CDTF">2023-02-21T17:49:36Z</dcterms:created>
  <dcterms:modified xsi:type="dcterms:W3CDTF">2023-09-20T15:56:37Z</dcterms:modified>
</cp:coreProperties>
</file>